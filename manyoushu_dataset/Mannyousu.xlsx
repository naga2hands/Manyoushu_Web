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ocuments\Nihongo\Manyoushu\manyoushu_dataset\"/>
    </mc:Choice>
  </mc:AlternateContent>
  <xr:revisionPtr revIDLastSave="0" documentId="13_ncr:1_{6D5A171B-2E22-46A9-8B58-03828CC9A9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2" r:id="rId1"/>
    <sheet name="wikisource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" i="1"/>
  <c r="J22" i="1"/>
  <c r="I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G10" i="1"/>
  <c r="G9" i="1"/>
  <c r="G8" i="1"/>
  <c r="G7" i="1"/>
  <c r="G6" i="1"/>
  <c r="G5" i="1"/>
  <c r="G4" i="1"/>
  <c r="G3" i="1"/>
  <c r="I2" i="1"/>
  <c r="G11" i="1"/>
  <c r="G12" i="1"/>
  <c r="G13" i="1"/>
  <c r="G14" i="1"/>
  <c r="G15" i="1"/>
  <c r="G16" i="1"/>
  <c r="G17" i="1"/>
  <c r="G18" i="1"/>
  <c r="G19" i="1"/>
  <c r="G20" i="1"/>
  <c r="G21" i="1"/>
  <c r="B23" i="2"/>
  <c r="C23" i="2"/>
  <c r="D23" i="2"/>
  <c r="E2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3" i="2"/>
  <c r="F23" i="2" l="1"/>
</calcChain>
</file>

<file path=xl/sharedStrings.xml><?xml version="1.0" encoding="utf-8"?>
<sst xmlns="http://schemas.openxmlformats.org/spreadsheetml/2006/main" count="49" uniqueCount="41">
  <si>
    <t>歌番号</t>
  </si>
  <si>
    <t xml:space="preserve"> Poem number</t>
  </si>
  <si>
    <t>題詞</t>
  </si>
  <si>
    <t xml:space="preserve"> Headnote/caption</t>
  </si>
  <si>
    <t>原文</t>
  </si>
  <si>
    <t xml:space="preserve"> Original text</t>
  </si>
  <si>
    <t>訓読</t>
  </si>
  <si>
    <t xml:space="preserve"> Kun'yomi reading</t>
  </si>
  <si>
    <t>仮名</t>
  </si>
  <si>
    <t>左注</t>
  </si>
  <si>
    <t xml:space="preserve"> Left commentary</t>
  </si>
  <si>
    <t>校異</t>
  </si>
  <si>
    <t xml:space="preserve"> Textual variants</t>
  </si>
  <si>
    <t>事項</t>
  </si>
  <si>
    <t xml:space="preserve"> Keywords/topics</t>
  </si>
  <si>
    <t>訓異</t>
  </si>
  <si>
    <t xml:space="preserve"> Reading variants</t>
  </si>
  <si>
    <t>பாடல் எண்</t>
  </si>
  <si>
    <t>தலைப்பு/விளக்கம்</t>
  </si>
  <si>
    <t>அசல் உரை</t>
  </si>
  <si>
    <t>கனா எழுத்து</t>
  </si>
  <si>
    <t>இடது குறிப்பு</t>
  </si>
  <si>
    <t>உரை மாறுபாடுகள்</t>
  </si>
  <si>
    <t>தலைப்புகள்/வகைகள்</t>
  </si>
  <si>
    <t>வாசிப்பு மாறுபாடுகள்</t>
  </si>
  <si>
    <t xml:space="preserve"> Kana</t>
  </si>
  <si>
    <t>குன்யொமி வாசிப்பு</t>
  </si>
  <si>
    <t>manyoushuu</t>
  </si>
  <si>
    <t>Waka</t>
  </si>
  <si>
    <t>Total</t>
  </si>
  <si>
    <t>Starting</t>
  </si>
  <si>
    <t>Ending</t>
  </si>
  <si>
    <t>Manonmaniyam Count</t>
  </si>
  <si>
    <t>Sedōka (旋頭歌)</t>
  </si>
  <si>
    <t>Chōka (長歌)</t>
  </si>
  <si>
    <t>Tanka (短歌)</t>
  </si>
  <si>
    <t>Bussokusekika (佛足石歌)</t>
  </si>
  <si>
    <t>Extended alternating 5-7 mora lines ending in 7-7; 265 total</t>
  </si>
  <si>
    <t>5-7-5-7-7 mora pattern</t>
  </si>
  <si>
    <t>5-7-7-5-7-7;</t>
  </si>
  <si>
    <t>5-7-5-7-7-7;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</si>
</sst>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b/>
      <sz val="9.6"/>
      <color theme="1"/>
      <name val="Segoe UI"/>
      <family val="2"/>
    </font>
    <font>
      <b/>
      <sz val="9.6"/>
      <color theme="0"/>
      <name val="Segoe UI"/>
      <family val="2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/>
    <xf numFmtId="0" fontId="5" fillId="0" borderId="1" xfId="0" applyFont="1" applyBorder="1" applyAlignment="1">
      <alignment vertical="top" wrapText="1"/>
    </xf>
    <xf numFmtId="0" fontId="2" fillId="0" borderId="1" xfId="0" applyFont="1" applyBorder="1"/>
    <xf numFmtId="0" fontId="6" fillId="2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0" fillId="3" borderId="1" xfId="0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B50C-0A8D-4C09-AC0A-75B502117F0C}">
  <dimension ref="A1:I23"/>
  <sheetViews>
    <sheetView showGridLines="0" tabSelected="1" workbookViewId="0">
      <selection activeCell="I25" sqref="I25"/>
    </sheetView>
  </sheetViews>
  <sheetFormatPr defaultColWidth="33.5703125" defaultRowHeight="15" x14ac:dyDescent="0.25"/>
  <cols>
    <col min="1" max="1" width="12.42578125" bestFit="1" customWidth="1"/>
    <col min="2" max="2" width="12.5703125" bestFit="1" customWidth="1"/>
    <col min="3" max="3" width="12.7109375" bestFit="1" customWidth="1"/>
    <col min="4" max="4" width="15.85546875" bestFit="1" customWidth="1"/>
    <col min="5" max="5" width="24.7109375" bestFit="1" customWidth="1"/>
    <col min="6" max="6" width="5.42578125" bestFit="1" customWidth="1"/>
    <col min="7" max="7" width="24.7109375" bestFit="1" customWidth="1"/>
  </cols>
  <sheetData>
    <row r="1" spans="1:9" x14ac:dyDescent="0.25">
      <c r="A1" s="3"/>
      <c r="B1" s="3" t="s">
        <v>28</v>
      </c>
      <c r="C1" s="3"/>
      <c r="D1" s="3"/>
      <c r="E1" s="3"/>
      <c r="F1" s="3"/>
    </row>
    <row r="2" spans="1:9" x14ac:dyDescent="0.25">
      <c r="A2" s="6" t="s">
        <v>27</v>
      </c>
      <c r="B2" s="6" t="s">
        <v>35</v>
      </c>
      <c r="C2" s="6" t="s">
        <v>34</v>
      </c>
      <c r="D2" s="6" t="s">
        <v>33</v>
      </c>
      <c r="E2" s="6" t="s">
        <v>36</v>
      </c>
      <c r="F2" s="7" t="s">
        <v>29</v>
      </c>
    </row>
    <row r="3" spans="1:9" ht="17.25" x14ac:dyDescent="0.3">
      <c r="A3" s="2">
        <v>1</v>
      </c>
      <c r="B3" s="2">
        <v>68</v>
      </c>
      <c r="C3" s="2">
        <v>16</v>
      </c>
      <c r="D3" s="2"/>
      <c r="E3" s="2"/>
      <c r="F3" s="2">
        <f>SUM(B3:E3)</f>
        <v>84</v>
      </c>
      <c r="G3" s="6" t="s">
        <v>35</v>
      </c>
      <c r="H3" s="9" t="s">
        <v>38</v>
      </c>
      <c r="I3">
        <v>31</v>
      </c>
    </row>
    <row r="4" spans="1:9" ht="17.25" x14ac:dyDescent="0.3">
      <c r="A4" s="1">
        <v>2</v>
      </c>
      <c r="B4" s="1">
        <v>131</v>
      </c>
      <c r="C4" s="1">
        <v>19</v>
      </c>
      <c r="D4" s="1"/>
      <c r="E4" s="1"/>
      <c r="F4" s="2">
        <f t="shared" ref="F4:F22" si="0">SUM(B4:E4)</f>
        <v>150</v>
      </c>
      <c r="G4" s="6" t="s">
        <v>34</v>
      </c>
      <c r="H4" s="9" t="s">
        <v>37</v>
      </c>
      <c r="I4">
        <v>265</v>
      </c>
    </row>
    <row r="5" spans="1:9" ht="17.25" x14ac:dyDescent="0.3">
      <c r="A5" s="2">
        <v>3</v>
      </c>
      <c r="B5" s="1">
        <v>229</v>
      </c>
      <c r="C5" s="1">
        <v>23</v>
      </c>
      <c r="D5" s="1"/>
      <c r="E5" s="1"/>
      <c r="F5" s="2">
        <f t="shared" si="0"/>
        <v>252</v>
      </c>
      <c r="G5" s="6" t="s">
        <v>33</v>
      </c>
      <c r="H5" s="9" t="s">
        <v>39</v>
      </c>
      <c r="I5">
        <v>38</v>
      </c>
    </row>
    <row r="6" spans="1:9" ht="17.25" x14ac:dyDescent="0.3">
      <c r="A6" s="1">
        <v>4</v>
      </c>
      <c r="B6" s="1">
        <v>301</v>
      </c>
      <c r="C6" s="1">
        <v>7</v>
      </c>
      <c r="D6" s="1">
        <v>1</v>
      </c>
      <c r="E6" s="1"/>
      <c r="F6" s="2">
        <f t="shared" si="0"/>
        <v>309</v>
      </c>
      <c r="G6" s="6" t="s">
        <v>36</v>
      </c>
      <c r="H6" s="9" t="s">
        <v>40</v>
      </c>
      <c r="I6">
        <v>38</v>
      </c>
    </row>
    <row r="7" spans="1:9" x14ac:dyDescent="0.25">
      <c r="A7" s="2">
        <v>5</v>
      </c>
      <c r="B7" s="1">
        <v>104</v>
      </c>
      <c r="C7" s="1">
        <v>10</v>
      </c>
      <c r="D7" s="1"/>
      <c r="E7" s="1"/>
      <c r="F7" s="2">
        <f t="shared" si="0"/>
        <v>114</v>
      </c>
    </row>
    <row r="8" spans="1:9" x14ac:dyDescent="0.25">
      <c r="A8" s="1">
        <v>6</v>
      </c>
      <c r="B8" s="1">
        <v>132</v>
      </c>
      <c r="C8" s="1">
        <v>27</v>
      </c>
      <c r="D8" s="1">
        <v>1</v>
      </c>
      <c r="E8" s="1"/>
      <c r="F8" s="2">
        <f t="shared" si="0"/>
        <v>160</v>
      </c>
    </row>
    <row r="9" spans="1:9" x14ac:dyDescent="0.25">
      <c r="A9" s="2">
        <v>7</v>
      </c>
      <c r="B9" s="1">
        <v>324</v>
      </c>
      <c r="C9" s="1"/>
      <c r="D9" s="1">
        <v>26</v>
      </c>
      <c r="E9" s="1"/>
      <c r="F9" s="2">
        <f t="shared" si="0"/>
        <v>350</v>
      </c>
    </row>
    <row r="10" spans="1:9" x14ac:dyDescent="0.25">
      <c r="A10" s="1">
        <v>8</v>
      </c>
      <c r="B10" s="1">
        <v>236</v>
      </c>
      <c r="C10" s="1">
        <v>6</v>
      </c>
      <c r="D10" s="1">
        <v>4</v>
      </c>
      <c r="E10" s="1"/>
      <c r="F10" s="2">
        <f t="shared" si="0"/>
        <v>246</v>
      </c>
    </row>
    <row r="11" spans="1:9" x14ac:dyDescent="0.25">
      <c r="A11" s="2">
        <v>9</v>
      </c>
      <c r="B11" s="1">
        <v>125</v>
      </c>
      <c r="C11" s="1">
        <v>22</v>
      </c>
      <c r="D11" s="1">
        <v>1</v>
      </c>
      <c r="E11" s="1"/>
      <c r="F11" s="2">
        <f t="shared" si="0"/>
        <v>148</v>
      </c>
    </row>
    <row r="12" spans="1:9" x14ac:dyDescent="0.25">
      <c r="A12" s="1">
        <v>10</v>
      </c>
      <c r="B12" s="1">
        <v>532</v>
      </c>
      <c r="C12" s="1">
        <v>3</v>
      </c>
      <c r="D12" s="1">
        <v>4</v>
      </c>
      <c r="E12" s="1"/>
      <c r="F12" s="2">
        <f t="shared" si="0"/>
        <v>539</v>
      </c>
    </row>
    <row r="13" spans="1:9" x14ac:dyDescent="0.25">
      <c r="A13" s="2">
        <v>11</v>
      </c>
      <c r="B13" s="1">
        <v>480</v>
      </c>
      <c r="C13" s="1"/>
      <c r="D13" s="1">
        <v>17</v>
      </c>
      <c r="E13" s="1"/>
      <c r="F13" s="2">
        <f t="shared" si="0"/>
        <v>497</v>
      </c>
    </row>
    <row r="14" spans="1:9" x14ac:dyDescent="0.25">
      <c r="A14" s="1">
        <v>12</v>
      </c>
      <c r="B14" s="1">
        <v>383</v>
      </c>
      <c r="C14" s="1"/>
      <c r="D14" s="1"/>
      <c r="E14" s="1"/>
      <c r="F14" s="2">
        <f t="shared" si="0"/>
        <v>383</v>
      </c>
    </row>
    <row r="15" spans="1:9" x14ac:dyDescent="0.25">
      <c r="A15" s="2">
        <v>13</v>
      </c>
      <c r="B15" s="1">
        <v>60</v>
      </c>
      <c r="C15" s="1">
        <v>66</v>
      </c>
      <c r="D15" s="1">
        <v>1</v>
      </c>
      <c r="E15" s="1"/>
      <c r="F15" s="2">
        <f t="shared" si="0"/>
        <v>127</v>
      </c>
    </row>
    <row r="16" spans="1:9" x14ac:dyDescent="0.25">
      <c r="A16" s="1">
        <v>14</v>
      </c>
      <c r="B16" s="1">
        <v>238</v>
      </c>
      <c r="C16" s="1"/>
      <c r="D16" s="1"/>
      <c r="E16" s="1"/>
      <c r="F16" s="2">
        <f t="shared" si="0"/>
        <v>238</v>
      </c>
    </row>
    <row r="17" spans="1:6" x14ac:dyDescent="0.25">
      <c r="A17" s="2">
        <v>15</v>
      </c>
      <c r="B17" s="1">
        <v>200</v>
      </c>
      <c r="C17" s="1">
        <v>5</v>
      </c>
      <c r="D17" s="1">
        <v>3</v>
      </c>
      <c r="E17" s="1"/>
      <c r="F17" s="2">
        <f t="shared" si="0"/>
        <v>208</v>
      </c>
    </row>
    <row r="18" spans="1:6" x14ac:dyDescent="0.25">
      <c r="A18" s="1">
        <v>16</v>
      </c>
      <c r="B18" s="1">
        <v>92</v>
      </c>
      <c r="C18" s="1">
        <v>7</v>
      </c>
      <c r="D18" s="1">
        <v>4</v>
      </c>
      <c r="E18" s="1"/>
      <c r="F18" s="2">
        <f t="shared" si="0"/>
        <v>103</v>
      </c>
    </row>
    <row r="19" spans="1:6" x14ac:dyDescent="0.25">
      <c r="A19" s="2">
        <v>17</v>
      </c>
      <c r="B19" s="1">
        <v>127</v>
      </c>
      <c r="C19" s="1">
        <v>14</v>
      </c>
      <c r="D19" s="1">
        <v>1</v>
      </c>
      <c r="E19" s="1"/>
      <c r="F19" s="2">
        <f t="shared" si="0"/>
        <v>142</v>
      </c>
    </row>
    <row r="20" spans="1:6" x14ac:dyDescent="0.25">
      <c r="A20" s="1">
        <v>18</v>
      </c>
      <c r="B20" s="1">
        <v>97</v>
      </c>
      <c r="C20" s="1">
        <v>10</v>
      </c>
      <c r="D20" s="1"/>
      <c r="E20" s="1">
        <v>1</v>
      </c>
      <c r="F20" s="2">
        <f t="shared" si="0"/>
        <v>108</v>
      </c>
    </row>
    <row r="21" spans="1:6" x14ac:dyDescent="0.25">
      <c r="A21" s="2">
        <v>19</v>
      </c>
      <c r="B21" s="1">
        <v>131</v>
      </c>
      <c r="C21" s="1">
        <v>23</v>
      </c>
      <c r="D21" s="1"/>
      <c r="E21" s="1"/>
      <c r="F21" s="2">
        <f t="shared" si="0"/>
        <v>154</v>
      </c>
    </row>
    <row r="22" spans="1:6" x14ac:dyDescent="0.25">
      <c r="A22" s="1">
        <v>20</v>
      </c>
      <c r="B22" s="1">
        <v>218</v>
      </c>
      <c r="C22" s="1">
        <v>6</v>
      </c>
      <c r="D22" s="3"/>
      <c r="E22" s="3"/>
      <c r="F22" s="2">
        <f t="shared" si="0"/>
        <v>224</v>
      </c>
    </row>
    <row r="23" spans="1:6" x14ac:dyDescent="0.25">
      <c r="A23" s="4" t="s">
        <v>29</v>
      </c>
      <c r="B23" s="4">
        <f>SUM(B3:B22)</f>
        <v>4208</v>
      </c>
      <c r="C23" s="4">
        <f>SUM(C3:C22)</f>
        <v>264</v>
      </c>
      <c r="D23" s="4">
        <f>SUM(D3:D22)</f>
        <v>63</v>
      </c>
      <c r="E23" s="4">
        <f>SUM(E3:E22)</f>
        <v>1</v>
      </c>
      <c r="F23" s="4">
        <f>SUM(F3:F22)</f>
        <v>4536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showGridLines="0" zoomScale="85" zoomScaleNormal="85" workbookViewId="0">
      <selection activeCell="I26" sqref="I26"/>
    </sheetView>
  </sheetViews>
  <sheetFormatPr defaultRowHeight="15" x14ac:dyDescent="0.25"/>
  <cols>
    <col min="1" max="1" width="7.85546875" bestFit="1" customWidth="1"/>
    <col min="2" max="2" width="17.85546875" bestFit="1" customWidth="1"/>
    <col min="3" max="3" width="20.7109375" bestFit="1" customWidth="1"/>
    <col min="6" max="6" width="12.42578125" bestFit="1" customWidth="1"/>
    <col min="7" max="7" width="7.85546875" bestFit="1" customWidth="1"/>
    <col min="8" max="8" width="7" bestFit="1" customWidth="1"/>
    <col min="9" max="9" width="5.42578125" bestFit="1" customWidth="1"/>
    <col min="10" max="10" width="21.42578125" bestFit="1" customWidth="1"/>
    <col min="11" max="11" width="3" bestFit="1" customWidth="1"/>
  </cols>
  <sheetData>
    <row r="1" spans="1:11" x14ac:dyDescent="0.25">
      <c r="A1" s="3" t="s">
        <v>0</v>
      </c>
      <c r="B1" s="3" t="s">
        <v>1</v>
      </c>
      <c r="C1" s="3" t="s">
        <v>17</v>
      </c>
      <c r="F1" s="6" t="s">
        <v>27</v>
      </c>
      <c r="G1" s="3" t="s">
        <v>30</v>
      </c>
      <c r="H1" s="3" t="s">
        <v>31</v>
      </c>
      <c r="I1" s="3" t="s">
        <v>29</v>
      </c>
      <c r="J1" s="3" t="s">
        <v>32</v>
      </c>
      <c r="K1" s="3"/>
    </row>
    <row r="2" spans="1:11" x14ac:dyDescent="0.25">
      <c r="A2" s="3" t="s">
        <v>2</v>
      </c>
      <c r="B2" s="3" t="s">
        <v>3</v>
      </c>
      <c r="C2" s="3" t="s">
        <v>18</v>
      </c>
      <c r="F2" s="2">
        <v>1</v>
      </c>
      <c r="G2" s="3">
        <v>1</v>
      </c>
      <c r="H2" s="3">
        <v>84</v>
      </c>
      <c r="I2" s="3">
        <f>(H2-G2)+1</f>
        <v>84</v>
      </c>
      <c r="J2" s="3">
        <v>84</v>
      </c>
      <c r="K2" s="3">
        <f>J2-I2</f>
        <v>0</v>
      </c>
    </row>
    <row r="3" spans="1:11" x14ac:dyDescent="0.25">
      <c r="A3" s="3" t="s">
        <v>4</v>
      </c>
      <c r="B3" s="3" t="s">
        <v>5</v>
      </c>
      <c r="C3" s="3" t="s">
        <v>19</v>
      </c>
      <c r="F3" s="1">
        <v>2</v>
      </c>
      <c r="G3" s="3">
        <f t="shared" ref="G3:G10" si="0">H2+1</f>
        <v>85</v>
      </c>
      <c r="H3" s="3">
        <v>234</v>
      </c>
      <c r="I3" s="3">
        <f t="shared" ref="I3:I21" si="1">(H3-G3)+1</f>
        <v>150</v>
      </c>
      <c r="J3" s="3">
        <v>150</v>
      </c>
      <c r="K3" s="3">
        <f t="shared" ref="K3:K22" si="2">J3-I3</f>
        <v>0</v>
      </c>
    </row>
    <row r="4" spans="1:11" x14ac:dyDescent="0.25">
      <c r="A4" s="3" t="s">
        <v>6</v>
      </c>
      <c r="B4" s="3" t="s">
        <v>7</v>
      </c>
      <c r="C4" s="3" t="s">
        <v>26</v>
      </c>
      <c r="F4" s="2">
        <v>3</v>
      </c>
      <c r="G4" s="3">
        <f t="shared" si="0"/>
        <v>235</v>
      </c>
      <c r="H4" s="3">
        <v>483</v>
      </c>
      <c r="I4" s="3">
        <f t="shared" si="1"/>
        <v>249</v>
      </c>
      <c r="J4" s="3">
        <v>252</v>
      </c>
      <c r="K4" s="8">
        <f t="shared" si="2"/>
        <v>3</v>
      </c>
    </row>
    <row r="5" spans="1:11" x14ac:dyDescent="0.25">
      <c r="A5" s="3" t="s">
        <v>8</v>
      </c>
      <c r="B5" s="3" t="s">
        <v>25</v>
      </c>
      <c r="C5" s="3" t="s">
        <v>20</v>
      </c>
      <c r="F5" s="1">
        <v>4</v>
      </c>
      <c r="G5" s="3">
        <f t="shared" si="0"/>
        <v>484</v>
      </c>
      <c r="H5" s="3">
        <v>792</v>
      </c>
      <c r="I5" s="3">
        <f t="shared" si="1"/>
        <v>309</v>
      </c>
      <c r="J5" s="3">
        <v>309</v>
      </c>
      <c r="K5" s="3">
        <f t="shared" si="2"/>
        <v>0</v>
      </c>
    </row>
    <row r="6" spans="1:11" x14ac:dyDescent="0.25">
      <c r="A6" s="3" t="s">
        <v>9</v>
      </c>
      <c r="B6" s="3" t="s">
        <v>10</v>
      </c>
      <c r="C6" s="3" t="s">
        <v>21</v>
      </c>
      <c r="F6" s="2">
        <v>5</v>
      </c>
      <c r="G6" s="3">
        <f t="shared" si="0"/>
        <v>793</v>
      </c>
      <c r="H6" s="3">
        <v>906</v>
      </c>
      <c r="I6" s="3">
        <f t="shared" si="1"/>
        <v>114</v>
      </c>
      <c r="J6" s="3">
        <v>114</v>
      </c>
      <c r="K6" s="3">
        <f t="shared" si="2"/>
        <v>0</v>
      </c>
    </row>
    <row r="7" spans="1:11" x14ac:dyDescent="0.25">
      <c r="A7" s="3" t="s">
        <v>11</v>
      </c>
      <c r="B7" s="3" t="s">
        <v>12</v>
      </c>
      <c r="C7" s="3" t="s">
        <v>22</v>
      </c>
      <c r="F7" s="1">
        <v>6</v>
      </c>
      <c r="G7" s="3">
        <f t="shared" si="0"/>
        <v>907</v>
      </c>
      <c r="H7" s="3">
        <v>1067</v>
      </c>
      <c r="I7" s="3">
        <f t="shared" si="1"/>
        <v>161</v>
      </c>
      <c r="J7" s="3">
        <v>160</v>
      </c>
      <c r="K7" s="8">
        <f t="shared" si="2"/>
        <v>-1</v>
      </c>
    </row>
    <row r="8" spans="1:11" x14ac:dyDescent="0.25">
      <c r="A8" s="3" t="s">
        <v>13</v>
      </c>
      <c r="B8" s="3" t="s">
        <v>14</v>
      </c>
      <c r="C8" s="3" t="s">
        <v>23</v>
      </c>
      <c r="F8" s="2">
        <v>7</v>
      </c>
      <c r="G8" s="3">
        <f t="shared" si="0"/>
        <v>1068</v>
      </c>
      <c r="H8" s="3">
        <v>1417</v>
      </c>
      <c r="I8" s="3">
        <f t="shared" si="1"/>
        <v>350</v>
      </c>
      <c r="J8" s="3">
        <v>350</v>
      </c>
      <c r="K8" s="3">
        <f t="shared" si="2"/>
        <v>0</v>
      </c>
    </row>
    <row r="9" spans="1:11" x14ac:dyDescent="0.25">
      <c r="A9" s="3" t="s">
        <v>15</v>
      </c>
      <c r="B9" s="3" t="s">
        <v>16</v>
      </c>
      <c r="C9" s="3" t="s">
        <v>24</v>
      </c>
      <c r="F9" s="1">
        <v>8</v>
      </c>
      <c r="G9" s="3">
        <f t="shared" si="0"/>
        <v>1418</v>
      </c>
      <c r="H9" s="3">
        <v>1663</v>
      </c>
      <c r="I9" s="3">
        <f t="shared" si="1"/>
        <v>246</v>
      </c>
      <c r="J9" s="3">
        <v>246</v>
      </c>
      <c r="K9" s="3">
        <f t="shared" si="2"/>
        <v>0</v>
      </c>
    </row>
    <row r="10" spans="1:11" x14ac:dyDescent="0.25">
      <c r="F10" s="2">
        <v>9</v>
      </c>
      <c r="G10" s="3">
        <f t="shared" si="0"/>
        <v>1664</v>
      </c>
      <c r="H10" s="3">
        <v>1811</v>
      </c>
      <c r="I10" s="3">
        <f t="shared" si="1"/>
        <v>148</v>
      </c>
      <c r="J10" s="3">
        <v>148</v>
      </c>
      <c r="K10" s="3">
        <f t="shared" si="2"/>
        <v>0</v>
      </c>
    </row>
    <row r="11" spans="1:11" x14ac:dyDescent="0.25">
      <c r="F11" s="1">
        <v>10</v>
      </c>
      <c r="G11" s="3">
        <f t="shared" ref="G11:G21" si="3">H10+1</f>
        <v>1812</v>
      </c>
      <c r="H11" s="3">
        <v>2350</v>
      </c>
      <c r="I11" s="3">
        <f t="shared" si="1"/>
        <v>539</v>
      </c>
      <c r="J11" s="3">
        <v>539</v>
      </c>
      <c r="K11" s="3">
        <f t="shared" si="2"/>
        <v>0</v>
      </c>
    </row>
    <row r="12" spans="1:11" x14ac:dyDescent="0.25">
      <c r="F12" s="2">
        <v>11</v>
      </c>
      <c r="G12" s="3">
        <f t="shared" si="3"/>
        <v>2351</v>
      </c>
      <c r="H12" s="3">
        <v>2840</v>
      </c>
      <c r="I12" s="3">
        <f t="shared" si="1"/>
        <v>490</v>
      </c>
      <c r="J12" s="3">
        <v>497</v>
      </c>
      <c r="K12" s="8">
        <f t="shared" si="2"/>
        <v>7</v>
      </c>
    </row>
    <row r="13" spans="1:11" x14ac:dyDescent="0.25">
      <c r="F13" s="1">
        <v>12</v>
      </c>
      <c r="G13" s="3">
        <f t="shared" si="3"/>
        <v>2841</v>
      </c>
      <c r="H13" s="3">
        <v>3220</v>
      </c>
      <c r="I13" s="3">
        <f t="shared" si="1"/>
        <v>380</v>
      </c>
      <c r="J13" s="3">
        <v>383</v>
      </c>
      <c r="K13" s="8">
        <f t="shared" si="2"/>
        <v>3</v>
      </c>
    </row>
    <row r="14" spans="1:11" x14ac:dyDescent="0.25">
      <c r="F14" s="2">
        <v>13</v>
      </c>
      <c r="G14" s="3">
        <f t="shared" si="3"/>
        <v>3221</v>
      </c>
      <c r="H14" s="3">
        <v>3347</v>
      </c>
      <c r="I14" s="3">
        <f t="shared" si="1"/>
        <v>127</v>
      </c>
      <c r="J14" s="3">
        <v>127</v>
      </c>
      <c r="K14" s="3">
        <f t="shared" si="2"/>
        <v>0</v>
      </c>
    </row>
    <row r="15" spans="1:11" x14ac:dyDescent="0.25">
      <c r="F15" s="1">
        <v>14</v>
      </c>
      <c r="G15" s="3">
        <f t="shared" si="3"/>
        <v>3348</v>
      </c>
      <c r="H15" s="3">
        <v>3577</v>
      </c>
      <c r="I15" s="3">
        <f t="shared" si="1"/>
        <v>230</v>
      </c>
      <c r="J15" s="3">
        <v>238</v>
      </c>
      <c r="K15" s="8">
        <f t="shared" si="2"/>
        <v>8</v>
      </c>
    </row>
    <row r="16" spans="1:11" x14ac:dyDescent="0.25">
      <c r="F16" s="2">
        <v>15</v>
      </c>
      <c r="G16" s="3">
        <f t="shared" si="3"/>
        <v>3578</v>
      </c>
      <c r="H16" s="3">
        <v>3785</v>
      </c>
      <c r="I16" s="3">
        <f t="shared" si="1"/>
        <v>208</v>
      </c>
      <c r="J16" s="3">
        <v>208</v>
      </c>
      <c r="K16" s="3">
        <f t="shared" si="2"/>
        <v>0</v>
      </c>
    </row>
    <row r="17" spans="6:11" x14ac:dyDescent="0.25">
      <c r="F17" s="1">
        <v>16</v>
      </c>
      <c r="G17" s="3">
        <f t="shared" si="3"/>
        <v>3786</v>
      </c>
      <c r="H17" s="3">
        <v>3887</v>
      </c>
      <c r="I17" s="3">
        <f t="shared" si="1"/>
        <v>102</v>
      </c>
      <c r="J17" s="3">
        <v>103</v>
      </c>
      <c r="K17" s="8">
        <f t="shared" si="2"/>
        <v>1</v>
      </c>
    </row>
    <row r="18" spans="6:11" x14ac:dyDescent="0.25">
      <c r="F18" s="2">
        <v>17</v>
      </c>
      <c r="G18" s="3">
        <f t="shared" si="3"/>
        <v>3888</v>
      </c>
      <c r="H18" s="3">
        <v>4031</v>
      </c>
      <c r="I18" s="3">
        <f t="shared" si="1"/>
        <v>144</v>
      </c>
      <c r="J18" s="3">
        <v>142</v>
      </c>
      <c r="K18" s="8">
        <f t="shared" si="2"/>
        <v>-2</v>
      </c>
    </row>
    <row r="19" spans="6:11" x14ac:dyDescent="0.25">
      <c r="F19" s="1">
        <v>18</v>
      </c>
      <c r="G19" s="3">
        <f t="shared" si="3"/>
        <v>4032</v>
      </c>
      <c r="H19" s="3">
        <v>4138</v>
      </c>
      <c r="I19" s="3">
        <f t="shared" si="1"/>
        <v>107</v>
      </c>
      <c r="J19" s="3">
        <v>108</v>
      </c>
      <c r="K19" s="8">
        <f t="shared" si="2"/>
        <v>1</v>
      </c>
    </row>
    <row r="20" spans="6:11" x14ac:dyDescent="0.25">
      <c r="F20" s="2">
        <v>19</v>
      </c>
      <c r="G20" s="3">
        <f t="shared" si="3"/>
        <v>4139</v>
      </c>
      <c r="H20" s="3">
        <v>4292</v>
      </c>
      <c r="I20" s="3">
        <f t="shared" si="1"/>
        <v>154</v>
      </c>
      <c r="J20" s="3">
        <v>154</v>
      </c>
      <c r="K20" s="3">
        <f t="shared" si="2"/>
        <v>0</v>
      </c>
    </row>
    <row r="21" spans="6:11" x14ac:dyDescent="0.25">
      <c r="F21" s="1">
        <v>20</v>
      </c>
      <c r="G21" s="3">
        <f t="shared" si="3"/>
        <v>4293</v>
      </c>
      <c r="H21" s="3">
        <v>4516</v>
      </c>
      <c r="I21" s="3">
        <f t="shared" si="1"/>
        <v>224</v>
      </c>
      <c r="J21" s="3">
        <v>224</v>
      </c>
      <c r="K21" s="3">
        <f t="shared" si="2"/>
        <v>0</v>
      </c>
    </row>
    <row r="22" spans="6:11" x14ac:dyDescent="0.25">
      <c r="F22" s="4" t="s">
        <v>29</v>
      </c>
      <c r="G22" s="3"/>
      <c r="H22" s="3"/>
      <c r="I22" s="5">
        <f>SUM(I1:I21)</f>
        <v>4516</v>
      </c>
      <c r="J22" s="5">
        <f>SUM(J1:J21)</f>
        <v>4536</v>
      </c>
      <c r="K22" s="3">
        <f t="shared" si="2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wikisource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THUKIR'S PC</dc:creator>
  <cp:lastModifiedBy>THUKIR'S PC</cp:lastModifiedBy>
  <dcterms:created xsi:type="dcterms:W3CDTF">2015-06-05T18:17:20Z</dcterms:created>
  <dcterms:modified xsi:type="dcterms:W3CDTF">2026-08-23T18:35:49Z</dcterms:modified>
</cp:coreProperties>
</file>